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Respuestas" sheetId="3" state="visible" r:id="rId5"/>
    <sheet name="Tare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<sst xmlns="http://schemas.openxmlformats.org/spreadsheetml/2006/main" count="156" uniqueCount="114">
  <si>
    <t xml:space="preserve">Escala de Usabilidad del Sistema (SUS) · Inventia</t>
  </si>
  <si>
    <t xml:space="preserve">Para qué sirve</t>
  </si>
  <si>
    <t xml:space="preserve">Calcula la puntuación SUS de cada persona y del grupo, y comprueba el criterio del requisito RNF-001: puntuación promedio de 68 o más y tarea principal completada sin ayuda por al menos 80 % de las personas.</t>
  </si>
  <si>
    <t xml:space="preserve">Qué se diligencia</t>
  </si>
  <si>
    <t xml:space="preserve">Solo las celdas amarillas (texto azul) de las hojas «Respuestas» y «Tareas». Todo lo demás se calcula.</t>
  </si>
  <si>
    <t xml:space="preserve">Respuestas</t>
  </si>
  <si>
    <t xml:space="preserve">Una fila por persona (hasta 20). Cada afirmación se responde de 1 (totalmente en desacuerdo) a 5 (totalmente de acuerdo); solo se admiten enteros de 1 a 5.</t>
  </si>
  <si>
    <t xml:space="preserve">Cálculo por persona</t>
  </si>
  <si>
    <t xml:space="preserve">Afirmaciones impares (1, 3, 5, 7, 9): respuesta − 1. Afirmaciones pares (2, 4, 6, 8, 10): 5 − respuesta. Se suman los diez resultados (de 0 a 4 cada uno) y la suma se multiplica por 2,5. El resultado va de 0 a 100 y no es un porcentaje.</t>
  </si>
  <si>
    <t xml:space="preserve">Puntuación del grupo</t>
  </si>
  <si>
    <t xml:space="preserve">Promedio de las puntuaciones individuales. 68 es el promedio de la literatura (Bangor et al., 2009); 68 o más se considera aceptable.</t>
  </si>
  <si>
    <t xml:space="preserve">Tareas</t>
  </si>
  <si>
    <t xml:space="preserve">En la hoja «Tareas» se anota, por persona, si completó sin ayuda cada una de las seis tareas del guion (S o N). La tarea principal de RNF-001 son las tareas 1 y 2 (iniciar sesión, consultar existencias y registrar una venta), que debe poder hacerse en menos de tres minutos.</t>
  </si>
  <si>
    <t xml:space="preserve">Mínimo de personas</t>
  </si>
  <si>
    <t xml:space="preserve">El resumen no concluye hasta que haya al menos 5 personas con el cuestionario completo y 5 con las tareas 1 y 2 evaluadas. Con 5 personas se detecta la mayor parte de los problemas de uso, pero la puntuación es poco estable: conviene tener más.</t>
  </si>
  <si>
    <t xml:space="preserve">Estado actual</t>
  </si>
  <si>
    <t xml:space="preserve">Este archivo está VACÍO: el cuestionario no se ha aplicado y RNF-001 sigue «pendiente de validación».</t>
  </si>
  <si>
    <t xml:space="preserve">Ejemplo ilustrativo</t>
  </si>
  <si>
    <t xml:space="preserve">No son datos de ninguna persona: sirve para comprobar el cálculo. Respuestas de P1 a P10 y su puntuación: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</si>
  <si>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</si>
  <si>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</si>
  <si>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</si>
  <si>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</si>
  <si>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</si>
  <si>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</si>
  <si>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</si>
  <si>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</si>
  <si>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</si>
  <si>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</si>
  <si>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SUS</t>
  </si>
  <si>
    <t xml:space="preserve">Puntuación del ejemplo (debe dar 85)</t>
  </si>
  <si>
    <t xml:space="preserve">Afirmaciones</t>
  </si>
  <si>
    <t xml:space="preserve">Creo que me gustaría usar este sistema con frecuencia.</t>
  </si>
  <si>
    <t xml:space="preserve">Encontré el sistema innecesariamente complejo.</t>
  </si>
  <si>
    <t xml:space="preserve">Pensé que el sistema era fácil de usar.</t>
  </si>
  <si>
    <t xml:space="preserve">Creo que necesitaría el apoyo de una persona técnica para poder usar este sistema.</t>
  </si>
  <si>
    <t xml:space="preserve">Encontré que las diversas funciones del sistema estaban bien integradas.</t>
  </si>
  <si>
    <t xml:space="preserve">Pensé que había demasiada inconsistencia en el sistema.</t>
  </si>
  <si>
    <t xml:space="preserve">Imagino que la mayoría de las personas aprenderían a usar este sistema muy rápidamente.</t>
  </si>
  <si>
    <t xml:space="preserve">Encontré el sistema muy engorroso de usar.</t>
  </si>
  <si>
    <t xml:space="preserve">Me sentí muy seguro(a) usando el sistema.</t>
  </si>
  <si>
    <t xml:space="preserve">Necesité aprender muchas cosas antes de poder usar el sistema.</t>
  </si>
  <si>
    <t xml:space="preserve">Tareas del guion</t>
  </si>
  <si>
    <t xml:space="preserve">T1</t>
  </si>
  <si>
    <t xml:space="preserve">Iniciar sesión y consultar el inventario consolidado.</t>
  </si>
  <si>
    <t xml:space="preserve">T2</t>
  </si>
  <si>
    <t xml:space="preserve">Registrar una venta de dos productos en una sede.</t>
  </si>
  <si>
    <t xml:space="preserve">T3</t>
  </si>
  <si>
    <t xml:space="preserve">Solicitar un traslado entre dos sedes y seguir su estado.</t>
  </si>
  <si>
    <t xml:space="preserve">T4</t>
  </si>
  <si>
    <t xml:space="preserve">Ejecutar la predicción de demanda y abrir el detalle de un producto.</t>
  </si>
  <si>
    <t xml:space="preserve">T5</t>
  </si>
  <si>
    <t xml:space="preserve">Revisar una recomendación y aprobarla o rechazarla con comentario.</t>
  </si>
  <si>
    <t xml:space="preserve">T6</t>
  </si>
  <si>
    <t xml:space="preserve">Descargar el reporte de inventario en Excel.</t>
  </si>
  <si>
    <t xml:space="preserve">Resumen de la validación de usabilidad (RNF-001)</t>
  </si>
  <si>
    <t xml:space="preserve">Personas con el cuestionario completo</t>
  </si>
  <si>
    <t xml:space="preserve">Puntuación SUS promedio del grupo</t>
  </si>
  <si>
    <t xml:space="preserve">Puntuación SUS mediana</t>
  </si>
  <si>
    <t xml:space="preserve">Puntuación SUS mínima</t>
  </si>
  <si>
    <t xml:space="preserve">Puntuación SUS máxima</t>
  </si>
  <si>
    <t xml:space="preserve">Personas con puntuación de 68 o más</t>
  </si>
  <si>
    <t xml:space="preserve">Personas con la tarea principal evaluada</t>
  </si>
  <si>
    <t xml:space="preserve">Personas que la completaron sin ayuda y en menos de 3 minutos</t>
  </si>
  <si>
    <t xml:space="preserve">Porcentaje que la completó sin ayuda</t>
  </si>
  <si>
    <t xml:space="preserve">Criterio de RNF-001</t>
  </si>
  <si>
    <t xml:space="preserve">Promedio SUS de 68 o más</t>
  </si>
  <si>
    <t xml:space="preserve">Al menos 80 % completa la tarea principal sin ayuda</t>
  </si>
  <si>
    <t xml:space="preserve">Conclusión</t>
  </si>
  <si>
    <t xml:space="preserve">Promedio de cada afirmación (1 a 5; sirve para ubicar los puntos débiles: en las impares conviene que sea alto y en las pares, bajo)</t>
  </si>
  <si>
    <t xml:space="preserve">P1. Creo que me gustaría usar este sistema con frecuencia.</t>
  </si>
  <si>
    <t xml:space="preserve">P2. Encontré el sistema innecesariamente complejo.</t>
  </si>
  <si>
    <t xml:space="preserve">P3. Pensé que el sistema era fácil de usar.</t>
  </si>
  <si>
    <t xml:space="preserve">P4. Creo que necesitaría el apoyo de una persona técnica para poder usar este sistema.</t>
  </si>
  <si>
    <t xml:space="preserve">P5. Encontré que las diversas funciones del sistema estaban bien integradas.</t>
  </si>
  <si>
    <t xml:space="preserve">P6. Pensé que había demasiada inconsistencia en el sistema.</t>
  </si>
  <si>
    <t xml:space="preserve">P7. Imagino que la mayoría de las personas aprenderían a usar este sistema muy rápidamente.</t>
  </si>
  <si>
    <t xml:space="preserve">P8. Encontré el sistema muy engorroso de usar.</t>
  </si>
  <si>
    <t xml:space="preserve">P9. Me sentí muy seguro(a) usando el sistema.</t>
  </si>
  <si>
    <t xml:space="preserve">P10. Necesité aprender muchas cosas antes de poder usar el sistema.</t>
  </si>
  <si>
    <t xml:space="preserve">Id</t>
  </si>
  <si>
    <t xml:space="preserve">Cargo o perfil</t>
  </si>
  <si>
    <t xml:space="preserve">Experiencia previa (ninguna / poca / mucha)</t>
  </si>
  <si>
    <t xml:space="preserve">Fecha</t>
  </si>
  <si>
    <t xml:space="preserve">Puntuación SUS</t>
  </si>
  <si>
    <t xml:space="preserve">Completa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</si>
  <si>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</si>
  <si>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</si>
  <si>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</si>
  <si>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</si>
  <si>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</si>
  <si>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</si>
  <si>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</si>
  <si>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</si>
  <si>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</si>
  <si>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</si>
  <si>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</si>
  <si>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</si>
  <si>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</si>
  <si>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</si>
  <si>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</si>
  <si>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</si>
  <si>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</si>
  <si>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</si>
  <si>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</si>
  <si>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T1 sin ayuda (S/N)</t>
  </si>
  <si>
    <t xml:space="preserve">T2 sin ayuda (S/N)</t>
  </si>
  <si>
    <t xml:space="preserve">T3 sin ayuda (S/N)</t>
  </si>
  <si>
    <t xml:space="preserve">T4 sin ayuda (S/N)</t>
  </si>
  <si>
    <t xml:space="preserve">T5 sin ayuda (S/N)</t>
  </si>
  <si>
    <t xml:space="preserve">T6 sin ayuda (S/N)</t>
  </si>
  <si>
    <t xml:space="preserve">Tiempo de T1 y T2 (minutos)</t>
  </si>
  <si>
    <t xml:space="preserve">Tarea principal sin ayuda y en menos de 3 min</t>
  </si>
  <si>
    <t xml:space="preserve">Ayudas pedidas y observaciones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</si>
</sst>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2"/>
    <col collapsed="false" customWidth="true" hidden="false" outlineLevel="0" max="13" min="3" style="1" width="7"/>
  </cols>
  <sheetData>
    <row r="1" customFormat="false" ht="17.35" hidden="false" customHeight="false" outlineLevel="0" collapsed="false">
      <c r="A1" s="2" t="s">
        <v>0</v>
      </c>
    </row>
    <row r="3" customFormat="false" ht="45.75" hidden="false" customHeight="true" outlineLevel="0" collapsed="false">
      <c r="A3" s="3" t="s">
        <v>1</v>
      </c>
      <c r="B3" s="4" t="s">
        <v>2</v>
      </c>
    </row>
    <row r="4" customFormat="false" ht="45.75" hidden="false" customHeight="true" outlineLevel="0" collapsed="false">
      <c r="A4" s="3" t="s">
        <v>3</v>
      </c>
      <c r="B4" s="4" t="s">
        <v>4</v>
      </c>
    </row>
    <row r="5" customFormat="false" ht="45.75" hidden="false" customHeight="true" outlineLevel="0" collapsed="false">
      <c r="A5" s="3" t="s">
        <v>5</v>
      </c>
      <c r="B5" s="4" t="s">
        <v>6</v>
      </c>
    </row>
    <row r="6" customFormat="false" ht="45.75" hidden="false" customHeight="true" outlineLevel="0" collapsed="false">
      <c r="A6" s="3" t="s">
        <v>7</v>
      </c>
      <c r="B6" s="4" t="s">
        <v>8</v>
      </c>
    </row>
    <row r="7" customFormat="false" ht="45.75" hidden="false" customHeight="true" outlineLevel="0" collapsed="false">
      <c r="A7" s="3" t="s">
        <v>9</v>
      </c>
      <c r="B7" s="4" t="s">
        <v>10</v>
      </c>
    </row>
    <row r="8" customFormat="false" ht="45.75" hidden="false" customHeight="true" outlineLevel="0" collapsed="false">
      <c r="A8" s="3" t="s">
        <v>11</v>
      </c>
      <c r="B8" s="4" t="s">
        <v>12</v>
      </c>
    </row>
    <row r="9" customFormat="false" ht="45.75" hidden="false" customHeight="true" outlineLevel="0" collapsed="false">
      <c r="A9" s="3" t="s">
        <v>13</v>
      </c>
      <c r="B9" s="4" t="s">
        <v>14</v>
      </c>
    </row>
    <row r="10" customFormat="false" ht="45.75" hidden="false" customHeight="true" outlineLevel="0" collapsed="false">
      <c r="A10" s="3" t="s">
        <v>15</v>
      </c>
      <c r="B10" s="4" t="s">
        <v>16</v>
      </c>
    </row>
    <row r="12" customFormat="false" ht="15" hidden="false" customHeight="false" outlineLevel="0" collapsed="false">
      <c r="A12" s="5" t="s">
        <v>17</v>
      </c>
      <c r="B12" s="6" t="s">
        <v>18</v>
      </c>
      <c r="C12" s="7" t="s">
        <v>19</v>
      </c>
      <c r="D12" s="7" t="s">
        <v>20</v>
      </c>
      <c r="E12" s="7" t="s">
        <v>21</v>
      </c>
      <c r="F12" s="7" t="s">
        <v>22</v>
      </c>
      <c r="G12" s="7" t="s">
        <v>23</v>
      </c>
      <c r="H12" s="7" t="s">
        <v>24</v>
      </c>
      <c r="I12" s="7" t="s">
        <v>25</v>
      </c>
      <c r="J12" s="7" t="s">
        <v>26</v>
      </c>
      <c r="K12" s="7" t="s">
        <v>27</v>
      </c>
      <c r="L12" s="7" t="s">
        <v>28</v>
      </c>
      <c r="M12" s="5" t="s">
        <v>29</v>
      </c>
    </row>
    <row r="13" customFormat="false" ht="15" hidden="false" customHeight="false" outlineLevel="0" collapsed="false">
      <c r="B13" s="6" t="s">
        <v>30</v>
      </c>
      <c r="C13" s="8" t="n">
        <v>4</v>
      </c>
      <c r="D13" s="8" t="n">
        <v>2</v>
      </c>
      <c r="E13" s="8" t="n">
        <v>5</v>
      </c>
      <c r="F13" s="8" t="n">
        <v>1</v>
      </c>
      <c r="G13" s="8" t="n">
        <v>4</v>
      </c>
      <c r="H13" s="8" t="n">
        <v>2</v>
      </c>
      <c r="I13" s="8" t="n">
        <v>4</v>
      </c>
      <c r="J13" s="8" t="n">
        <v>2</v>
      </c>
      <c r="K13" s="8" t="n">
        <v>5</v>
      </c>
      <c r="L13" s="8" t="n">
        <v>1</v>
      </c>
      <c r="M13" s="5" t="n">
        <f aca="false">((C13-1)+(E13-1)+(G13-1)+(I13-1)+(K13-1)+(5-D13)+(5-F13)+(5-H13)+(5-J13)+(5-L13))*2.5</f>
        <v>85</v>
      </c>
    </row>
    <row r="15" customFormat="false" ht="15" hidden="false" customHeight="false" outlineLevel="0" collapsed="false">
      <c r="A15" s="5" t="s">
        <v>31</v>
      </c>
    </row>
    <row r="16" customFormat="false" ht="15" hidden="false" customHeight="false" outlineLevel="0" collapsed="false">
      <c r="A16" s="6" t="s">
        <v>19</v>
      </c>
      <c r="B16" s="4" t="s">
        <v>32</v>
      </c>
    </row>
    <row r="17" customFormat="false" ht="15" hidden="false" customHeight="false" outlineLevel="0" collapsed="false">
      <c r="A17" s="6" t="s">
        <v>20</v>
      </c>
      <c r="B17" s="4" t="s">
        <v>33</v>
      </c>
    </row>
    <row r="18" customFormat="false" ht="15" hidden="false" customHeight="false" outlineLevel="0" collapsed="false">
      <c r="A18" s="6" t="s">
        <v>21</v>
      </c>
      <c r="B18" s="4" t="s">
        <v>34</v>
      </c>
    </row>
    <row r="19" customFormat="false" ht="15" hidden="false" customHeight="false" outlineLevel="0" collapsed="false">
      <c r="A19" s="6" t="s">
        <v>22</v>
      </c>
      <c r="B19" s="4" t="s">
        <v>35</v>
      </c>
    </row>
    <row r="20" customFormat="false" ht="15" hidden="false" customHeight="false" outlineLevel="0" collapsed="false">
      <c r="A20" s="6" t="s">
        <v>23</v>
      </c>
      <c r="B20" s="4" t="s">
        <v>36</v>
      </c>
    </row>
    <row r="21" customFormat="false" ht="15" hidden="false" customHeight="false" outlineLevel="0" collapsed="false">
      <c r="A21" s="6" t="s">
        <v>24</v>
      </c>
      <c r="B21" s="4" t="s">
        <v>37</v>
      </c>
    </row>
    <row r="22" customFormat="false" ht="15" hidden="false" customHeight="false" outlineLevel="0" collapsed="false">
      <c r="A22" s="6" t="s">
        <v>25</v>
      </c>
      <c r="B22" s="4" t="s">
        <v>38</v>
      </c>
    </row>
    <row r="23" customFormat="false" ht="15" hidden="false" customHeight="false" outlineLevel="0" collapsed="false">
      <c r="A23" s="6" t="s">
        <v>26</v>
      </c>
      <c r="B23" s="4" t="s">
        <v>39</v>
      </c>
    </row>
    <row r="24" customFormat="false" ht="15" hidden="false" customHeight="false" outlineLevel="0" collapsed="false">
      <c r="A24" s="6" t="s">
        <v>27</v>
      </c>
      <c r="B24" s="4" t="s">
        <v>40</v>
      </c>
    </row>
    <row r="25" customFormat="false" ht="15" hidden="false" customHeight="false" outlineLevel="0" collapsed="false">
      <c r="A25" s="6" t="s">
        <v>28</v>
      </c>
      <c r="B25" s="4" t="s">
        <v>41</v>
      </c>
    </row>
    <row r="27" customFormat="false" ht="15" hidden="false" customHeight="false" outlineLevel="0" collapsed="false">
      <c r="A27" s="5" t="s">
        <v>42</v>
      </c>
    </row>
    <row r="28" customFormat="false" ht="15" hidden="false" customHeight="false" outlineLevel="0" collapsed="false">
      <c r="A28" s="6" t="s">
        <v>43</v>
      </c>
      <c r="B28" s="4" t="s">
        <v>44</v>
      </c>
    </row>
    <row r="29" customFormat="false" ht="15" hidden="false" customHeight="false" outlineLevel="0" collapsed="false">
      <c r="A29" s="6" t="s">
        <v>45</v>
      </c>
      <c r="B29" s="4" t="s">
        <v>46</v>
      </c>
    </row>
    <row r="30" customFormat="false" ht="15" hidden="false" customHeight="false" outlineLevel="0" collapsed="false">
      <c r="A30" s="6" t="s">
        <v>47</v>
      </c>
      <c r="B30" s="4" t="s">
        <v>48</v>
      </c>
    </row>
    <row r="31" customFormat="false" ht="15" hidden="false" customHeight="false" outlineLevel="0" collapsed="false">
      <c r="A31" s="6" t="s">
        <v>49</v>
      </c>
      <c r="B31" s="4" t="s">
        <v>50</v>
      </c>
    </row>
    <row r="32" customFormat="false" ht="15" hidden="false" customHeight="false" outlineLevel="0" collapsed="false">
      <c r="A32" s="6" t="s">
        <v>51</v>
      </c>
      <c r="B32" s="4" t="s">
        <v>52</v>
      </c>
    </row>
    <row r="33" customFormat="false" ht="15" hidden="false" customHeight="false" outlineLevel="0" collapsed="false">
      <c r="A33" s="6" t="s">
        <v>53</v>
      </c>
      <c r="B33" s="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8"/>
    <col collapsed="false" customWidth="true" hidden="false" outlineLevel="0" max="2" min="2" style="1" width="34"/>
  </cols>
  <sheetData>
    <row r="1" customFormat="false" ht="17.35" hidden="false" customHeight="false" outlineLevel="0" collapsed="false">
      <c r="A1" s="2" t="s">
        <v>55</v>
      </c>
    </row>
    <row r="3" customFormat="false" ht="15" hidden="false" customHeight="false" outlineLevel="0" collapsed="false">
      <c r="A3" s="9" t="s">
        <v>56</v>
      </c>
      <c r="B3" s="10" t="n">
        <f aca="false">COUNTIF(Respuestas!$P$2:$P$21,"sí")</f>
        <v>0</v>
      </c>
    </row>
    <row r="4" customFormat="false" ht="15" hidden="false" customHeight="false" outlineLevel="0" collapsed="false">
      <c r="A4" s="9" t="s">
        <v>57</v>
      </c>
      <c r="B4" s="11" t="str">
        <f aca="false">IF(B3=0,"",AVERAGE(Respuestas!$O$2:$O$21))</f>
        <v/>
      </c>
    </row>
    <row r="5" customFormat="false" ht="15" hidden="false" customHeight="false" outlineLevel="0" collapsed="false">
      <c r="A5" s="9" t="s">
        <v>58</v>
      </c>
      <c r="B5" s="11" t="str">
        <f aca="false">IF(B3=0,"",MEDIAN(Respuestas!$O$2:$O$21))</f>
        <v/>
      </c>
    </row>
    <row r="6" customFormat="false" ht="15" hidden="false" customHeight="false" outlineLevel="0" collapsed="false">
      <c r="A6" s="9" t="s">
        <v>59</v>
      </c>
      <c r="B6" s="11" t="str">
        <f aca="false">IF(B3=0,"",MIN(Respuestas!$O$2:$O$21))</f>
        <v/>
      </c>
    </row>
    <row r="7" customFormat="false" ht="15" hidden="false" customHeight="false" outlineLevel="0" collapsed="false">
      <c r="A7" s="9" t="s">
        <v>60</v>
      </c>
      <c r="B7" s="11" t="str">
        <f aca="false">IF(B3=0,"",MAX(Respuestas!$O$2:$O$21))</f>
        <v/>
      </c>
    </row>
    <row r="8" customFormat="false" ht="15" hidden="false" customHeight="false" outlineLevel="0" collapsed="false">
      <c r="A8" s="9" t="s">
        <v>61</v>
      </c>
      <c r="B8" s="10" t="n">
        <f aca="false">COUNTIF(Respuestas!$O$2:$O$21,"&gt;=68")</f>
        <v>0</v>
      </c>
    </row>
    <row r="9" customFormat="false" ht="15" hidden="false" customHeight="false" outlineLevel="0" collapsed="false">
      <c r="A9" s="9" t="s">
        <v>62</v>
      </c>
      <c r="B9" s="10" t="n">
        <f aca="false">COUNTIF(Tareas!$I$2:$I$21,"sí")+COUNTIF(Tareas!$I$2:$I$21,"no")</f>
        <v>0</v>
      </c>
    </row>
    <row r="10" customFormat="false" ht="15" hidden="false" customHeight="false" outlineLevel="0" collapsed="false">
      <c r="A10" s="9" t="s">
        <v>63</v>
      </c>
      <c r="B10" s="10" t="n">
        <f aca="false">COUNTIF(Tareas!$I$2:$I$21,"sí")</f>
        <v>0</v>
      </c>
    </row>
    <row r="11" customFormat="false" ht="15" hidden="false" customHeight="false" outlineLevel="0" collapsed="false">
      <c r="A11" s="9" t="s">
        <v>64</v>
      </c>
      <c r="B11" s="12" t="str">
        <f aca="false">IF(B9=0,"",B10/B9)</f>
        <v/>
      </c>
    </row>
    <row r="13" customFormat="false" ht="15" hidden="false" customHeight="false" outlineLevel="0" collapsed="false">
      <c r="A13" s="5" t="s">
        <v>65</v>
      </c>
    </row>
    <row r="14" customFormat="false" ht="15" hidden="false" customHeight="false" outlineLevel="0" collapsed="false">
      <c r="A14" s="9" t="s">
        <v>66</v>
      </c>
      <c r="B14" s="13" t="str">
        <f aca="false">IF(B3&lt;5,"Faltan personas",IF(B4&gt;=68,"Cumple","No cumple"))</f>
        <v>Faltan personas</v>
      </c>
    </row>
    <row r="15" customFormat="false" ht="15" hidden="false" customHeight="false" outlineLevel="0" collapsed="false">
      <c r="A15" s="9" t="s">
        <v>67</v>
      </c>
      <c r="B15" s="13" t="str">
        <f aca="false">IF(B9&lt;5,"Faltan personas",IF(B11&gt;=0.8,"Cumple","No cumple"))</f>
        <v>Faltan personas</v>
      </c>
    </row>
    <row r="16" customFormat="false" ht="48" hidden="false" customHeight="true" outlineLevel="0" collapsed="false">
      <c r="A16" s="9" t="s">
        <v>68</v>
      </c>
      <c r="B16" s="13" t="str">
        <f aca="false">IF(OR(B14="Faltan personas",B15="Faltan personas"),"Sin concluir: se necesitan al menos 5 personas con el cuestionario completo y 5 con la tarea principal evaluada",IF(AND(B14="Cumple",B15="Cumple"),"RNF-001 cumple","RNF-001 no cumple"))</f>
        <v>Sin concluir: se necesitan al menos 5 personas con el cuestionario completo y 5 con la tarea principal evaluada</v>
      </c>
    </row>
    <row r="18" customFormat="false" ht="31.5" hidden="false" customHeight="true" outlineLevel="0" collapsed="false">
      <c r="A18" s="3" t="s">
        <v>69</v>
      </c>
    </row>
    <row r="19" customFormat="false" ht="27.75" hidden="false" customHeight="true" outlineLevel="0" collapsed="false">
      <c r="A19" s="9" t="s">
        <v>70</v>
      </c>
      <c r="B19" s="14" t="str">
        <f aca="false">IF(COUNT(Respuestas!E2:E21)=0,"",AVERAGE(Respuestas!E2:E21))</f>
        <v/>
      </c>
    </row>
    <row r="20" customFormat="false" ht="27.75" hidden="false" customHeight="true" outlineLevel="0" collapsed="false">
      <c r="A20" s="9" t="s">
        <v>71</v>
      </c>
      <c r="B20" s="14" t="str">
        <f aca="false">IF(COUNT(Respuestas!F2:F21)=0,"",AVERAGE(Respuestas!F2:F21))</f>
        <v/>
      </c>
    </row>
    <row r="21" customFormat="false" ht="27.75" hidden="false" customHeight="true" outlineLevel="0" collapsed="false">
      <c r="A21" s="9" t="s">
        <v>72</v>
      </c>
      <c r="B21" s="14" t="str">
        <f aca="false">IF(COUNT(Respuestas!G2:G21)=0,"",AVERAGE(Respuestas!G2:G21))</f>
        <v/>
      </c>
    </row>
    <row r="22" customFormat="false" ht="27.75" hidden="false" customHeight="true" outlineLevel="0" collapsed="false">
      <c r="A22" s="9" t="s">
        <v>73</v>
      </c>
      <c r="B22" s="14" t="str">
        <f aca="false">IF(COUNT(Respuestas!H2:H21)=0,"",AVERAGE(Respuestas!H2:H21))</f>
        <v/>
      </c>
    </row>
    <row r="23" customFormat="false" ht="27.75" hidden="false" customHeight="true" outlineLevel="0" collapsed="false">
      <c r="A23" s="9" t="s">
        <v>74</v>
      </c>
      <c r="B23" s="14" t="str">
        <f aca="false">IF(COUNT(Respuestas!I2:I21)=0,"",AVERAGE(Respuestas!I2:I21))</f>
        <v/>
      </c>
    </row>
    <row r="24" customFormat="false" ht="27.75" hidden="false" customHeight="true" outlineLevel="0" collapsed="false">
      <c r="A24" s="9" t="s">
        <v>75</v>
      </c>
      <c r="B24" s="14" t="str">
        <f aca="false">IF(COUNT(Respuestas!J2:J21)=0,"",AVERAGE(Respuestas!J2:J21))</f>
        <v/>
      </c>
    </row>
    <row r="25" customFormat="false" ht="27.75" hidden="false" customHeight="true" outlineLevel="0" collapsed="false">
      <c r="A25" s="9" t="s">
        <v>76</v>
      </c>
      <c r="B25" s="14" t="str">
        <f aca="false">IF(COUNT(Respuestas!K2:K21)=0,"",AVERAGE(Respuestas!K2:K21))</f>
        <v/>
      </c>
    </row>
    <row r="26" customFormat="false" ht="27.75" hidden="false" customHeight="true" outlineLevel="0" collapsed="false">
      <c r="A26" s="9" t="s">
        <v>77</v>
      </c>
      <c r="B26" s="14" t="str">
        <f aca="false">IF(COUNT(Respuestas!L2:L21)=0,"",AVERAGE(Respuestas!L2:L21))</f>
        <v/>
      </c>
    </row>
    <row r="27" customFormat="false" ht="27.75" hidden="false" customHeight="true" outlineLevel="0" collapsed="false">
      <c r="A27" s="9" t="s">
        <v>78</v>
      </c>
      <c r="B27" s="14" t="str">
        <f aca="false">IF(COUNT(Respuestas!M2:M21)=0,"",AVERAGE(Respuestas!M2:M21))</f>
        <v/>
      </c>
    </row>
    <row r="28" customFormat="false" ht="27.75" hidden="false" customHeight="true" outlineLevel="0" collapsed="false">
      <c r="A28" s="9" t="s">
        <v>79</v>
      </c>
      <c r="B28" s="14" t="str">
        <f aca="false">IF(COUNT(Respuestas!N2:N21)=0,"",AVERAGE(Respuestas!N2:N21))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14" min="5" style="1" width="6"/>
    <col collapsed="false" customWidth="true" hidden="false" outlineLevel="0" max="15" min="15" style="1" width="14"/>
    <col collapsed="false" customWidth="true" hidden="false" outlineLevel="0" max="16" min="16" style="1" width="10"/>
  </cols>
  <sheetData>
    <row r="1" customFormat="false" ht="43.5" hidden="false" customHeight="true" outlineLevel="0" collapsed="false">
      <c r="A1" s="7" t="s">
        <v>80</v>
      </c>
      <c r="B1" s="7" t="s">
        <v>81</v>
      </c>
      <c r="C1" s="7" t="s">
        <v>82</v>
      </c>
      <c r="D1" s="7" t="s">
        <v>83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7" t="s">
        <v>27</v>
      </c>
      <c r="N1" s="7" t="s">
        <v>28</v>
      </c>
      <c r="O1" s="7" t="s">
        <v>84</v>
      </c>
      <c r="P1" s="7" t="s">
        <v>85</v>
      </c>
    </row>
    <row r="2" customFormat="false" ht="15" hidden="false" customHeight="false" outlineLevel="0" collapsed="false">
      <c r="A2" s="15" t="s">
        <v>86</v>
      </c>
      <c r="B2" s="16"/>
      <c r="C2" s="16"/>
      <c r="D2" s="16"/>
      <c r="E2" s="17"/>
      <c r="F2" s="17"/>
      <c r="G2" s="17"/>
      <c r="H2" s="17"/>
      <c r="I2" s="17"/>
      <c r="J2" s="17"/>
      <c r="K2" s="17"/>
      <c r="L2" s="17"/>
      <c r="M2" s="17"/>
      <c r="N2" s="17"/>
      <c r="O2" s="14" t="str">
        <f aca="false">IF(COUNT(E2:N2)=10,((E2-1)+(G2-1)+(I2-1)+(K2-1)+(M2-1)+(5-F2)+(5-H2)+(5-J2)+(5-L2)+(5-N2))*2.5,"")</f>
        <v/>
      </c>
      <c r="P2" s="8" t="str">
        <f aca="false">IF(COUNT(E2:N2)=10,"sí","")</f>
        <v/>
      </c>
    </row>
    <row r="3" customFormat="false" ht="15" hidden="false" customHeight="false" outlineLevel="0" collapsed="false">
      <c r="A3" s="15" t="s">
        <v>87</v>
      </c>
      <c r="B3" s="16"/>
      <c r="C3" s="16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4" t="str">
        <f aca="false">IF(COUNT(E3:N3)=10,((E3-1)+(G3-1)+(I3-1)+(K3-1)+(M3-1)+(5-F3)+(5-H3)+(5-J3)+(5-L3)+(5-N3))*2.5,"")</f>
        <v/>
      </c>
      <c r="P3" s="8" t="str">
        <f aca="false">IF(COUNT(E3:N3)=10,"sí","")</f>
        <v/>
      </c>
    </row>
    <row r="4" customFormat="false" ht="15" hidden="false" customHeight="false" outlineLevel="0" collapsed="false">
      <c r="A4" s="15" t="s">
        <v>88</v>
      </c>
      <c r="B4" s="16"/>
      <c r="C4" s="16"/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4" t="str">
        <f aca="false">IF(COUNT(E4:N4)=10,((E4-1)+(G4-1)+(I4-1)+(K4-1)+(M4-1)+(5-F4)+(5-H4)+(5-J4)+(5-L4)+(5-N4))*2.5,"")</f>
        <v/>
      </c>
      <c r="P4" s="8" t="str">
        <f aca="false">IF(COUNT(E4:N4)=10,"sí","")</f>
        <v/>
      </c>
    </row>
    <row r="5" customFormat="false" ht="15" hidden="false" customHeight="false" outlineLevel="0" collapsed="false">
      <c r="A5" s="15" t="s">
        <v>89</v>
      </c>
      <c r="B5" s="16"/>
      <c r="C5" s="16"/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4" t="str">
        <f aca="false">IF(COUNT(E5:N5)=10,((E5-1)+(G5-1)+(I5-1)+(K5-1)+(M5-1)+(5-F5)+(5-H5)+(5-J5)+(5-L5)+(5-N5))*2.5,"")</f>
        <v/>
      </c>
      <c r="P5" s="8" t="str">
        <f aca="false">IF(COUNT(E5:N5)=10,"sí","")</f>
        <v/>
      </c>
    </row>
    <row r="6" customFormat="false" ht="15" hidden="false" customHeight="false" outlineLevel="0" collapsed="false">
      <c r="A6" s="15" t="s">
        <v>90</v>
      </c>
      <c r="B6" s="16"/>
      <c r="C6" s="16"/>
      <c r="D6" s="16"/>
      <c r="E6" s="17"/>
      <c r="F6" s="17"/>
      <c r="G6" s="17"/>
      <c r="H6" s="17"/>
      <c r="I6" s="17"/>
      <c r="J6" s="17"/>
      <c r="K6" s="17"/>
      <c r="L6" s="17"/>
      <c r="M6" s="17"/>
      <c r="N6" s="17"/>
      <c r="O6" s="14" t="str">
        <f aca="false">IF(COUNT(E6:N6)=10,((E6-1)+(G6-1)+(I6-1)+(K6-1)+(M6-1)+(5-F6)+(5-H6)+(5-J6)+(5-L6)+(5-N6))*2.5,"")</f>
        <v/>
      </c>
      <c r="P6" s="8" t="str">
        <f aca="false">IF(COUNT(E6:N6)=10,"sí","")</f>
        <v/>
      </c>
    </row>
    <row r="7" customFormat="false" ht="15" hidden="false" customHeight="false" outlineLevel="0" collapsed="false">
      <c r="A7" s="15" t="s">
        <v>91</v>
      </c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  <c r="M7" s="17"/>
      <c r="N7" s="17"/>
      <c r="O7" s="14" t="str">
        <f aca="false">IF(COUNT(E7:N7)=10,((E7-1)+(G7-1)+(I7-1)+(K7-1)+(M7-1)+(5-F7)+(5-H7)+(5-J7)+(5-L7)+(5-N7))*2.5,"")</f>
        <v/>
      </c>
      <c r="P7" s="8" t="str">
        <f aca="false">IF(COUNT(E7:N7)=10,"sí","")</f>
        <v/>
      </c>
    </row>
    <row r="8" customFormat="false" ht="15" hidden="false" customHeight="false" outlineLevel="0" collapsed="false">
      <c r="A8" s="15" t="s">
        <v>92</v>
      </c>
      <c r="B8" s="16"/>
      <c r="C8" s="16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4" t="str">
        <f aca="false">IF(COUNT(E8:N8)=10,((E8-1)+(G8-1)+(I8-1)+(K8-1)+(M8-1)+(5-F8)+(5-H8)+(5-J8)+(5-L8)+(5-N8))*2.5,"")</f>
        <v/>
      </c>
      <c r="P8" s="8" t="str">
        <f aca="false">IF(COUNT(E8:N8)=10,"sí","")</f>
        <v/>
      </c>
    </row>
    <row r="9" customFormat="false" ht="15" hidden="false" customHeight="false" outlineLevel="0" collapsed="false">
      <c r="A9" s="15" t="s">
        <v>93</v>
      </c>
      <c r="B9" s="16"/>
      <c r="C9" s="16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4" t="str">
        <f aca="false">IF(COUNT(E9:N9)=10,((E9-1)+(G9-1)+(I9-1)+(K9-1)+(M9-1)+(5-F9)+(5-H9)+(5-J9)+(5-L9)+(5-N9))*2.5,"")</f>
        <v/>
      </c>
      <c r="P9" s="8" t="str">
        <f aca="false">IF(COUNT(E9:N9)=10,"sí","")</f>
        <v/>
      </c>
    </row>
    <row r="10" customFormat="false" ht="15" hidden="false" customHeight="false" outlineLevel="0" collapsed="false">
      <c r="A10" s="15" t="s">
        <v>94</v>
      </c>
      <c r="B10" s="16"/>
      <c r="C10" s="16"/>
      <c r="D10" s="16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4" t="str">
        <f aca="false">IF(COUNT(E10:N10)=10,((E10-1)+(G10-1)+(I10-1)+(K10-1)+(M10-1)+(5-F10)+(5-H10)+(5-J10)+(5-L10)+(5-N10))*2.5,"")</f>
        <v/>
      </c>
      <c r="P10" s="8" t="str">
        <f aca="false">IF(COUNT(E10:N10)=10,"sí","")</f>
        <v/>
      </c>
    </row>
    <row r="11" customFormat="false" ht="15" hidden="false" customHeight="false" outlineLevel="0" collapsed="false">
      <c r="A11" s="15" t="s">
        <v>28</v>
      </c>
      <c r="B11" s="16"/>
      <c r="C11" s="16"/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4" t="str">
        <f aca="false">IF(COUNT(E11:N11)=10,((E11-1)+(G11-1)+(I11-1)+(K11-1)+(M11-1)+(5-F11)+(5-H11)+(5-J11)+(5-L11)+(5-N11))*2.5,"")</f>
        <v/>
      </c>
      <c r="P11" s="8" t="str">
        <f aca="false">IF(COUNT(E11:N11)=10,"sí","")</f>
        <v/>
      </c>
    </row>
    <row r="12" customFormat="false" ht="15" hidden="false" customHeight="false" outlineLevel="0" collapsed="false">
      <c r="A12" s="15" t="s">
        <v>95</v>
      </c>
      <c r="B12" s="16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4" t="str">
        <f aca="false">IF(COUNT(E12:N12)=10,((E12-1)+(G12-1)+(I12-1)+(K12-1)+(M12-1)+(5-F12)+(5-H12)+(5-J12)+(5-L12)+(5-N12))*2.5,"")</f>
        <v/>
      </c>
      <c r="P12" s="8" t="str">
        <f aca="false">IF(COUNT(E12:N12)=10,"sí","")</f>
        <v/>
      </c>
    </row>
    <row r="13" customFormat="false" ht="15" hidden="false" customHeight="false" outlineLevel="0" collapsed="false">
      <c r="A13" s="15" t="s">
        <v>96</v>
      </c>
      <c r="B13" s="16"/>
      <c r="C13" s="16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4" t="str">
        <f aca="false">IF(COUNT(E13:N13)=10,((E13-1)+(G13-1)+(I13-1)+(K13-1)+(M13-1)+(5-F13)+(5-H13)+(5-J13)+(5-L13)+(5-N13))*2.5,"")</f>
        <v/>
      </c>
      <c r="P13" s="8" t="str">
        <f aca="false">IF(COUNT(E13:N13)=10,"sí","")</f>
        <v/>
      </c>
    </row>
    <row r="14" customFormat="false" ht="15" hidden="false" customHeight="false" outlineLevel="0" collapsed="false">
      <c r="A14" s="15" t="s">
        <v>97</v>
      </c>
      <c r="B14" s="16"/>
      <c r="C14" s="16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4" t="str">
        <f aca="false">IF(COUNT(E14:N14)=10,((E14-1)+(G14-1)+(I14-1)+(K14-1)+(M14-1)+(5-F14)+(5-H14)+(5-J14)+(5-L14)+(5-N14))*2.5,"")</f>
        <v/>
      </c>
      <c r="P14" s="8" t="str">
        <f aca="false">IF(COUNT(E14:N14)=10,"sí","")</f>
        <v/>
      </c>
    </row>
    <row r="15" customFormat="false" ht="15" hidden="false" customHeight="false" outlineLevel="0" collapsed="false">
      <c r="A15" s="15" t="s">
        <v>98</v>
      </c>
      <c r="B15" s="16"/>
      <c r="C15" s="16"/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4" t="str">
        <f aca="false">IF(COUNT(E15:N15)=10,((E15-1)+(G15-1)+(I15-1)+(K15-1)+(M15-1)+(5-F15)+(5-H15)+(5-J15)+(5-L15)+(5-N15))*2.5,"")</f>
        <v/>
      </c>
      <c r="P15" s="8" t="str">
        <f aca="false">IF(COUNT(E15:N15)=10,"sí","")</f>
        <v/>
      </c>
    </row>
    <row r="16" customFormat="false" ht="15" hidden="false" customHeight="false" outlineLevel="0" collapsed="false">
      <c r="A16" s="15" t="s">
        <v>99</v>
      </c>
      <c r="B16" s="16"/>
      <c r="C16" s="16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4" t="str">
        <f aca="false">IF(COUNT(E16:N16)=10,((E16-1)+(G16-1)+(I16-1)+(K16-1)+(M16-1)+(5-F16)+(5-H16)+(5-J16)+(5-L16)+(5-N16))*2.5,"")</f>
        <v/>
      </c>
      <c r="P16" s="8" t="str">
        <f aca="false">IF(COUNT(E16:N16)=10,"sí","")</f>
        <v/>
      </c>
    </row>
    <row r="17" customFormat="false" ht="15" hidden="false" customHeight="false" outlineLevel="0" collapsed="false">
      <c r="A17" s="15" t="s">
        <v>100</v>
      </c>
      <c r="B17" s="16"/>
      <c r="C17" s="16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4" t="str">
        <f aca="false">IF(COUNT(E17:N17)=10,((E17-1)+(G17-1)+(I17-1)+(K17-1)+(M17-1)+(5-F17)+(5-H17)+(5-J17)+(5-L17)+(5-N17))*2.5,"")</f>
        <v/>
      </c>
      <c r="P17" s="8" t="str">
        <f aca="false">IF(COUNT(E17:N17)=10,"sí","")</f>
        <v/>
      </c>
    </row>
    <row r="18" customFormat="false" ht="15" hidden="false" customHeight="false" outlineLevel="0" collapsed="false">
      <c r="A18" s="15" t="s">
        <v>101</v>
      </c>
      <c r="B18" s="16"/>
      <c r="C18" s="16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4" t="str">
        <f aca="false">IF(COUNT(E18:N18)=10,((E18-1)+(G18-1)+(I18-1)+(K18-1)+(M18-1)+(5-F18)+(5-H18)+(5-J18)+(5-L18)+(5-N18))*2.5,"")</f>
        <v/>
      </c>
      <c r="P18" s="8" t="str">
        <f aca="false">IF(COUNT(E18:N18)=10,"sí","")</f>
        <v/>
      </c>
    </row>
    <row r="19" customFormat="false" ht="15" hidden="false" customHeight="false" outlineLevel="0" collapsed="false">
      <c r="A19" s="15" t="s">
        <v>102</v>
      </c>
      <c r="B19" s="16"/>
      <c r="C19" s="16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4" t="str">
        <f aca="false">IF(COUNT(E19:N19)=10,((E19-1)+(G19-1)+(I19-1)+(K19-1)+(M19-1)+(5-F19)+(5-H19)+(5-J19)+(5-L19)+(5-N19))*2.5,"")</f>
        <v/>
      </c>
      <c r="P19" s="8" t="str">
        <f aca="false">IF(COUNT(E19:N19)=10,"sí","")</f>
        <v/>
      </c>
    </row>
    <row r="20" customFormat="false" ht="15" hidden="false" customHeight="false" outlineLevel="0" collapsed="false">
      <c r="A20" s="15" t="s">
        <v>103</v>
      </c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4" t="str">
        <f aca="false">IF(COUNT(E20:N20)=10,((E20-1)+(G20-1)+(I20-1)+(K20-1)+(M20-1)+(5-F20)+(5-H20)+(5-J20)+(5-L20)+(5-N20))*2.5,"")</f>
        <v/>
      </c>
      <c r="P20" s="8" t="str">
        <f aca="false">IF(COUNT(E20:N20)=10,"sí","")</f>
        <v/>
      </c>
    </row>
    <row r="21" customFormat="false" ht="15" hidden="false" customHeight="false" outlineLevel="0" collapsed="false">
      <c r="A21" s="15" t="s">
        <v>104</v>
      </c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4" t="str">
        <f aca="false">IF(COUNT(E21:N21)=10,((E21-1)+(G21-1)+(I21-1)+(K21-1)+(M21-1)+(5-F21)+(5-H21)+(5-J21)+(5-L21)+(5-N21))*2.5,"")</f>
        <v/>
      </c>
      <c r="P21" s="8" t="str">
        <f aca="false">IF(COUNT(E21:N21)=10,"sí","")</f>
        <v/>
      </c>
    </row>
  </sheetData>
  <dataValidations count="1">
    <dataValidation allowBlank="true" error="Escriba un entero de 1 a 5." errorStyle="stop" errorTitle="Valor no válido" operator="between" showDropDown="false" showErrorMessage="true" showInputMessage="false" sqref="E2:N2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7" min="2" style="1" width="11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0" min="10" style="1" width="50"/>
  </cols>
  <sheetData>
    <row r="1" customFormat="false" ht="57.75" hidden="false" customHeight="true" outlineLevel="0" collapsed="false">
      <c r="A1" s="7" t="s">
        <v>80</v>
      </c>
      <c r="B1" s="7" t="s">
        <v>105</v>
      </c>
      <c r="C1" s="7" t="s">
        <v>106</v>
      </c>
      <c r="D1" s="7" t="s">
        <v>107</v>
      </c>
      <c r="E1" s="7" t="s">
        <v>108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113</v>
      </c>
    </row>
    <row r="2" customFormat="false" ht="15" hidden="false" customHeight="false" outlineLevel="0" collapsed="false">
      <c r="A2" s="8" t="s">
        <v>86</v>
      </c>
      <c r="B2" s="17"/>
      <c r="C2" s="17"/>
      <c r="D2" s="17"/>
      <c r="E2" s="17"/>
      <c r="F2" s="17"/>
      <c r="G2" s="17"/>
      <c r="H2" s="17"/>
      <c r="I2" s="8" t="str">
        <f aca="false">IF(OR(B2="",C2="",H2=""),"",IF(AND(B2="S",C2="S",H2&lt;3),"sí","no"))</f>
        <v/>
      </c>
      <c r="J2" s="16"/>
    </row>
    <row r="3" customFormat="false" ht="15" hidden="false" customHeight="false" outlineLevel="0" collapsed="false">
      <c r="A3" s="8" t="s">
        <v>87</v>
      </c>
      <c r="B3" s="17"/>
      <c r="C3" s="17"/>
      <c r="D3" s="17"/>
      <c r="E3" s="17"/>
      <c r="F3" s="17"/>
      <c r="G3" s="17"/>
      <c r="H3" s="17"/>
      <c r="I3" s="8" t="str">
        <f aca="false">IF(OR(B3="",C3="",H3=""),"",IF(AND(B3="S",C3="S",H3&lt;3),"sí","no"))</f>
        <v/>
      </c>
      <c r="J3" s="16"/>
    </row>
    <row r="4" customFormat="false" ht="15" hidden="false" customHeight="false" outlineLevel="0" collapsed="false">
      <c r="A4" s="8" t="s">
        <v>88</v>
      </c>
      <c r="B4" s="17"/>
      <c r="C4" s="17"/>
      <c r="D4" s="17"/>
      <c r="E4" s="17"/>
      <c r="F4" s="17"/>
      <c r="G4" s="17"/>
      <c r="H4" s="17"/>
      <c r="I4" s="8" t="str">
        <f aca="false">IF(OR(B4="",C4="",H4=""),"",IF(AND(B4="S",C4="S",H4&lt;3),"sí","no"))</f>
        <v/>
      </c>
      <c r="J4" s="16"/>
    </row>
    <row r="5" customFormat="false" ht="15" hidden="false" customHeight="false" outlineLevel="0" collapsed="false">
      <c r="A5" s="8" t="s">
        <v>89</v>
      </c>
      <c r="B5" s="17"/>
      <c r="C5" s="17"/>
      <c r="D5" s="17"/>
      <c r="E5" s="17"/>
      <c r="F5" s="17"/>
      <c r="G5" s="17"/>
      <c r="H5" s="17"/>
      <c r="I5" s="8" t="str">
        <f aca="false">IF(OR(B5="",C5="",H5=""),"",IF(AND(B5="S",C5="S",H5&lt;3),"sí","no"))</f>
        <v/>
      </c>
      <c r="J5" s="16"/>
    </row>
    <row r="6" customFormat="false" ht="15" hidden="false" customHeight="false" outlineLevel="0" collapsed="false">
      <c r="A6" s="8" t="s">
        <v>90</v>
      </c>
      <c r="B6" s="17"/>
      <c r="C6" s="17"/>
      <c r="D6" s="17"/>
      <c r="E6" s="17"/>
      <c r="F6" s="17"/>
      <c r="G6" s="17"/>
      <c r="H6" s="17"/>
      <c r="I6" s="8" t="str">
        <f aca="false">IF(OR(B6="",C6="",H6=""),"",IF(AND(B6="S",C6="S",H6&lt;3),"sí","no"))</f>
        <v/>
      </c>
      <c r="J6" s="16"/>
    </row>
    <row r="7" customFormat="false" ht="15" hidden="false" customHeight="false" outlineLevel="0" collapsed="false">
      <c r="A7" s="8" t="s">
        <v>91</v>
      </c>
      <c r="B7" s="17"/>
      <c r="C7" s="17"/>
      <c r="D7" s="17"/>
      <c r="E7" s="17"/>
      <c r="F7" s="17"/>
      <c r="G7" s="17"/>
      <c r="H7" s="17"/>
      <c r="I7" s="8" t="str">
        <f aca="false">IF(OR(B7="",C7="",H7=""),"",IF(AND(B7="S",C7="S",H7&lt;3),"sí","no"))</f>
        <v/>
      </c>
      <c r="J7" s="16"/>
    </row>
    <row r="8" customFormat="false" ht="15" hidden="false" customHeight="false" outlineLevel="0" collapsed="false">
      <c r="A8" s="8" t="s">
        <v>92</v>
      </c>
      <c r="B8" s="17"/>
      <c r="C8" s="17"/>
      <c r="D8" s="17"/>
      <c r="E8" s="17"/>
      <c r="F8" s="17"/>
      <c r="G8" s="17"/>
      <c r="H8" s="17"/>
      <c r="I8" s="8" t="str">
        <f aca="false">IF(OR(B8="",C8="",H8=""),"",IF(AND(B8="S",C8="S",H8&lt;3),"sí","no"))</f>
        <v/>
      </c>
      <c r="J8" s="16"/>
    </row>
    <row r="9" customFormat="false" ht="15" hidden="false" customHeight="false" outlineLevel="0" collapsed="false">
      <c r="A9" s="8" t="s">
        <v>93</v>
      </c>
      <c r="B9" s="17"/>
      <c r="C9" s="17"/>
      <c r="D9" s="17"/>
      <c r="E9" s="17"/>
      <c r="F9" s="17"/>
      <c r="G9" s="17"/>
      <c r="H9" s="17"/>
      <c r="I9" s="8" t="str">
        <f aca="false">IF(OR(B9="",C9="",H9=""),"",IF(AND(B9="S",C9="S",H9&lt;3),"sí","no"))</f>
        <v/>
      </c>
      <c r="J9" s="16"/>
    </row>
    <row r="10" customFormat="false" ht="15" hidden="false" customHeight="false" outlineLevel="0" collapsed="false">
      <c r="A10" s="8" t="s">
        <v>94</v>
      </c>
      <c r="B10" s="17"/>
      <c r="C10" s="17"/>
      <c r="D10" s="17"/>
      <c r="E10" s="17"/>
      <c r="F10" s="17"/>
      <c r="G10" s="17"/>
      <c r="H10" s="17"/>
      <c r="I10" s="8" t="str">
        <f aca="false">IF(OR(B10="",C10="",H10=""),"",IF(AND(B10="S",C10="S",H10&lt;3),"sí","no"))</f>
        <v/>
      </c>
      <c r="J10" s="16"/>
    </row>
    <row r="11" customFormat="false" ht="15" hidden="false" customHeight="false" outlineLevel="0" collapsed="false">
      <c r="A11" s="8" t="s">
        <v>28</v>
      </c>
      <c r="B11" s="17"/>
      <c r="C11" s="17"/>
      <c r="D11" s="17"/>
      <c r="E11" s="17"/>
      <c r="F11" s="17"/>
      <c r="G11" s="17"/>
      <c r="H11" s="17"/>
      <c r="I11" s="8" t="str">
        <f aca="false">IF(OR(B11="",C11="",H11=""),"",IF(AND(B11="S",C11="S",H11&lt;3),"sí","no"))</f>
        <v/>
      </c>
      <c r="J11" s="16"/>
    </row>
    <row r="12" customFormat="false" ht="15" hidden="false" customHeight="false" outlineLevel="0" collapsed="false">
      <c r="A12" s="8" t="s">
        <v>95</v>
      </c>
      <c r="B12" s="17"/>
      <c r="C12" s="17"/>
      <c r="D12" s="17"/>
      <c r="E12" s="17"/>
      <c r="F12" s="17"/>
      <c r="G12" s="17"/>
      <c r="H12" s="17"/>
      <c r="I12" s="8" t="str">
        <f aca="false">IF(OR(B12="",C12="",H12=""),"",IF(AND(B12="S",C12="S",H12&lt;3),"sí","no"))</f>
        <v/>
      </c>
      <c r="J12" s="16"/>
    </row>
    <row r="13" customFormat="false" ht="15" hidden="false" customHeight="false" outlineLevel="0" collapsed="false">
      <c r="A13" s="8" t="s">
        <v>96</v>
      </c>
      <c r="B13" s="17"/>
      <c r="C13" s="17"/>
      <c r="D13" s="17"/>
      <c r="E13" s="17"/>
      <c r="F13" s="17"/>
      <c r="G13" s="17"/>
      <c r="H13" s="17"/>
      <c r="I13" s="8" t="str">
        <f aca="false">IF(OR(B13="",C13="",H13=""),"",IF(AND(B13="S",C13="S",H13&lt;3),"sí","no"))</f>
        <v/>
      </c>
      <c r="J13" s="16"/>
    </row>
    <row r="14" customFormat="false" ht="15" hidden="false" customHeight="false" outlineLevel="0" collapsed="false">
      <c r="A14" s="8" t="s">
        <v>97</v>
      </c>
      <c r="B14" s="17"/>
      <c r="C14" s="17"/>
      <c r="D14" s="17"/>
      <c r="E14" s="17"/>
      <c r="F14" s="17"/>
      <c r="G14" s="17"/>
      <c r="H14" s="17"/>
      <c r="I14" s="8" t="str">
        <f aca="false">IF(OR(B14="",C14="",H14=""),"",IF(AND(B14="S",C14="S",H14&lt;3),"sí","no"))</f>
        <v/>
      </c>
      <c r="J14" s="16"/>
    </row>
    <row r="15" customFormat="false" ht="15" hidden="false" customHeight="false" outlineLevel="0" collapsed="false">
      <c r="A15" s="8" t="s">
        <v>98</v>
      </c>
      <c r="B15" s="17"/>
      <c r="C15" s="17"/>
      <c r="D15" s="17"/>
      <c r="E15" s="17"/>
      <c r="F15" s="17"/>
      <c r="G15" s="17"/>
      <c r="H15" s="17"/>
      <c r="I15" s="8" t="str">
        <f aca="false">IF(OR(B15="",C15="",H15=""),"",IF(AND(B15="S",C15="S",H15&lt;3),"sí","no"))</f>
        <v/>
      </c>
      <c r="J15" s="16"/>
    </row>
    <row r="16" customFormat="false" ht="15" hidden="false" customHeight="false" outlineLevel="0" collapsed="false">
      <c r="A16" s="8" t="s">
        <v>99</v>
      </c>
      <c r="B16" s="17"/>
      <c r="C16" s="17"/>
      <c r="D16" s="17"/>
      <c r="E16" s="17"/>
      <c r="F16" s="17"/>
      <c r="G16" s="17"/>
      <c r="H16" s="17"/>
      <c r="I16" s="8" t="str">
        <f aca="false">IF(OR(B16="",C16="",H16=""),"",IF(AND(B16="S",C16="S",H16&lt;3),"sí","no"))</f>
        <v/>
      </c>
      <c r="J16" s="16"/>
    </row>
    <row r="17" customFormat="false" ht="15" hidden="false" customHeight="false" outlineLevel="0" collapsed="false">
      <c r="A17" s="8" t="s">
        <v>100</v>
      </c>
      <c r="B17" s="17"/>
      <c r="C17" s="17"/>
      <c r="D17" s="17"/>
      <c r="E17" s="17"/>
      <c r="F17" s="17"/>
      <c r="G17" s="17"/>
      <c r="H17" s="17"/>
      <c r="I17" s="8" t="str">
        <f aca="false">IF(OR(B17="",C17="",H17=""),"",IF(AND(B17="S",C17="S",H17&lt;3),"sí","no"))</f>
        <v/>
      </c>
      <c r="J17" s="16"/>
    </row>
    <row r="18" customFormat="false" ht="15" hidden="false" customHeight="false" outlineLevel="0" collapsed="false">
      <c r="A18" s="8" t="s">
        <v>101</v>
      </c>
      <c r="B18" s="17"/>
      <c r="C18" s="17"/>
      <c r="D18" s="17"/>
      <c r="E18" s="17"/>
      <c r="F18" s="17"/>
      <c r="G18" s="17"/>
      <c r="H18" s="17"/>
      <c r="I18" s="8" t="str">
        <f aca="false">IF(OR(B18="",C18="",H18=""),"",IF(AND(B18="S",C18="S",H18&lt;3),"sí","no"))</f>
        <v/>
      </c>
      <c r="J18" s="16"/>
    </row>
    <row r="19" customFormat="false" ht="15" hidden="false" customHeight="false" outlineLevel="0" collapsed="false">
      <c r="A19" s="8" t="s">
        <v>102</v>
      </c>
      <c r="B19" s="17"/>
      <c r="C19" s="17"/>
      <c r="D19" s="17"/>
      <c r="E19" s="17"/>
      <c r="F19" s="17"/>
      <c r="G19" s="17"/>
      <c r="H19" s="17"/>
      <c r="I19" s="8" t="str">
        <f aca="false">IF(OR(B19="",C19="",H19=""),"",IF(AND(B19="S",C19="S",H19&lt;3),"sí","no"))</f>
        <v/>
      </c>
      <c r="J19" s="16"/>
    </row>
    <row r="20" customFormat="false" ht="15" hidden="false" customHeight="false" outlineLevel="0" collapsed="false">
      <c r="A20" s="8" t="s">
        <v>103</v>
      </c>
      <c r="B20" s="17"/>
      <c r="C20" s="17"/>
      <c r="D20" s="17"/>
      <c r="E20" s="17"/>
      <c r="F20" s="17"/>
      <c r="G20" s="17"/>
      <c r="H20" s="17"/>
      <c r="I20" s="8" t="str">
        <f aca="false">IF(OR(B20="",C20="",H20=""),"",IF(AND(B20="S",C20="S",H20&lt;3),"sí","no"))</f>
        <v/>
      </c>
      <c r="J20" s="16"/>
    </row>
    <row r="21" customFormat="false" ht="15" hidden="false" customHeight="false" outlineLevel="0" collapsed="false">
      <c r="A21" s="8" t="s">
        <v>104</v>
      </c>
      <c r="B21" s="17"/>
      <c r="C21" s="17"/>
      <c r="D21" s="17"/>
      <c r="E21" s="17"/>
      <c r="F21" s="17"/>
      <c r="G21" s="17"/>
      <c r="H21" s="17"/>
      <c r="I21" s="8" t="str">
        <f aca="false">IF(OR(B21="",C21="",H21=""),"",IF(AND(B21="S",C21="S",H21&lt;3),"sí","no"))</f>
        <v/>
      </c>
      <c r="J21" s="16"/>
    </row>
  </sheetData>
  <dataValidations count="2">
    <dataValidation allowBlank="true" error="Escriba S o N." errorStyle="stop" errorTitle="Valor no válido" operator="between" showDropDown="false" showErrorMessage="true" showInputMessage="false" sqref="B2:G21" type="list">
      <formula1>"S,N"</formula1>
      <formula2>0</formula2>
    </dataValidation>
    <dataValidation allowBlank="true" error="Escriba los minutos como número (por ejemplo 2,5)." errorStyle="stop" errorTitle="Valor no válido" operator="greaterThanOrEqual" showDropDown="false" showErrorMessage="true" showInputMessage="false" sqref="H2:H2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2026-10-27T16:24:24Z</dcterms:created>
  <dc:creator>openpyxl</dc:creator>
  <dc:description/>
  <dc:language>en-US</dc:language>
  <cp:lastModifiedBy/>
  <dcterms:modified xsi:type="dcterms:W3CDTF">2026-10-27T16:24:24Z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